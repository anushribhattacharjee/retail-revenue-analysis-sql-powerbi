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raw_city_revenue" sheetId="1" r:id="rId1"/>
    <sheet name="raw_customer_revenue" sheetId="6" r:id="rId2"/>
    <sheet name="raw_inactive_customers" sheetId="5" r:id="rId3"/>
    <sheet name="raw_customer_segment" sheetId="7" r:id="rId4"/>
    <sheet name="raw_monthly_reveue" sheetId="8" r:id="rId5"/>
    <sheet name="pivot_analysis" sheetId="9" r:id="rId6"/>
  </sheets>
  <definedNames>
    <definedName name="city_revenue" localSheetId="0">raw_city_revenue!$A$1:$D$7</definedName>
    <definedName name="city_revenue_1" localSheetId="0">raw_city_revenue!$A$10:$B$13</definedName>
    <definedName name="customers_revenue" localSheetId="1">raw_customer_revenue!$A$1:$D$7</definedName>
    <definedName name="monthly_revenue" localSheetId="4">raw_monthly_reveue!$A$1:$B$6</definedName>
  </definedNames>
  <calcPr calcId="144525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r="E3" i="5" l="1"/>
  <c r="H3" i="6"/>
  <c r="G2" i="6"/>
  <c r="E4" i="5"/>
  <c r="E2" i="5"/>
  <c r="F11" i="9"/>
  <c r="E11" i="9"/>
  <c r="G5" i="6" l="1"/>
  <c r="G6" i="6"/>
  <c r="G7" i="6"/>
  <c r="G8" i="6"/>
  <c r="G9" i="6"/>
  <c r="G4" i="6"/>
  <c r="F4" i="6"/>
  <c r="F5" i="6"/>
  <c r="F6" i="6"/>
  <c r="F7" i="6"/>
  <c r="F2" i="6"/>
  <c r="F3" i="6"/>
  <c r="F1" i="6"/>
</calcChain>
</file>

<file path=xl/comments1.xml><?xml version="1.0" encoding="utf-8"?>
<comments xmlns="http://schemas.openxmlformats.org/spreadsheetml/2006/main">
  <authors>
    <author>ismail - [2010]</author>
  </authors>
  <commentList>
    <comment ref="F1" authorId="0">
      <text>
        <r>
          <rPr>
            <b/>
            <sz val="9"/>
            <color indexed="81"/>
            <rFont val="Tahoma"/>
            <charset val="1"/>
          </rPr>
          <t>ismail - [2010]:</t>
        </r>
        <r>
          <rPr>
            <sz val="9"/>
            <color indexed="81"/>
            <rFont val="Tahoma"/>
            <charset val="1"/>
          </rPr>
          <t xml:space="preserve">
CHECKING IF THERE ARE ANY EXTRA SPACES</t>
        </r>
      </text>
    </comment>
    <comment ref="G2" authorId="0">
      <text>
        <r>
          <rPr>
            <b/>
            <sz val="9"/>
            <color indexed="81"/>
            <rFont val="Tahoma"/>
            <charset val="1"/>
          </rPr>
          <t>ismail - [2010]:</t>
        </r>
        <r>
          <rPr>
            <sz val="9"/>
            <color indexed="81"/>
            <rFont val="Tahoma"/>
            <charset val="1"/>
          </rPr>
          <t xml:space="preserve">
VALIDATING REVENUE RESULT WITH SQL OUTPUT</t>
        </r>
      </text>
    </comment>
    <comment ref="H3" authorId="0">
      <text>
        <r>
          <rPr>
            <b/>
            <sz val="9"/>
            <color indexed="81"/>
            <rFont val="Tahoma"/>
            <charset val="1"/>
          </rPr>
          <t>ismail - [2010]:</t>
        </r>
        <r>
          <rPr>
            <sz val="9"/>
            <color indexed="81"/>
            <rFont val="Tahoma"/>
            <charset val="1"/>
          </rPr>
          <t xml:space="preserve">
Counting the entries</t>
        </r>
      </text>
    </comment>
    <comment ref="G4" authorId="0">
      <text>
        <r>
          <rPr>
            <b/>
            <sz val="9"/>
            <color indexed="81"/>
            <rFont val="Tahoma"/>
            <charset val="1"/>
          </rPr>
          <t>ismail - [2010]:</t>
        </r>
        <r>
          <rPr>
            <sz val="9"/>
            <color indexed="81"/>
            <rFont val="Tahoma"/>
            <charset val="1"/>
          </rPr>
          <t xml:space="preserve">
CHECKING FOR DUPLICATE CUSTOMER ID</t>
        </r>
      </text>
    </comment>
  </commentList>
</comments>
</file>

<file path=xl/connections.xml><?xml version="1.0" encoding="utf-8"?>
<connections xmlns="http://schemas.openxmlformats.org/spreadsheetml/2006/main">
  <connection id="1" name="city_revenue" type="6" refreshedVersion="4" background="1" saveData="1">
    <textPr codePage="437" sourceFile="C:\Users\Anushri Pc\Desktop\retail\customer_segment.csv" comma="1">
      <textFields count="2">
        <textField/>
        <textField/>
      </textFields>
    </textPr>
  </connection>
  <connection id="2" name="city_revenue1" type="6" refreshedVersion="4" background="1" saveData="1">
    <textPr codePage="437" sourceFile="C:\Users\Anushri Pc\Desktop\retail\city_revenue.csv" comma="1">
      <textFields count="2">
        <textField/>
        <textField/>
      </textFields>
    </textPr>
  </connection>
  <connection id="3" name="customers_revenue" type="6" refreshedVersion="4" background="1" saveData="1">
    <textPr codePage="1257" sourceFile="C:\Users\Anushri Pc\Desktop\retail\customers_revenue.csv" comma="1">
      <textFields count="4">
        <textField/>
        <textField/>
        <textField/>
        <textField/>
      </textFields>
    </textPr>
  </connection>
  <connection id="4" name="monthly_revenue" type="6" refreshedVersion="4" background="1" saveData="1">
    <textPr codePage="437" sourceFile="C:\Users\Anushri Pc\Desktop\retail\monthly_revenue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<sst xmlns="http://schemas.openxmlformats.org/spreadsheetml/2006/main" count="113" uniqueCount="32">
  <si>
    <t>city</t>
  </si>
  <si>
    <t>city_revenue</t>
  </si>
  <si>
    <t>Delhi</t>
  </si>
  <si>
    <t>Kolkata</t>
  </si>
  <si>
    <t>Mumbai</t>
  </si>
  <si>
    <t>customer_id</t>
  </si>
  <si>
    <t>customer_name</t>
  </si>
  <si>
    <t>customer_revenue</t>
  </si>
  <si>
    <t>Neha Singh</t>
  </si>
  <si>
    <t>Ankit Pal</t>
  </si>
  <si>
    <t>Pooja Mehta</t>
  </si>
  <si>
    <t>Rohit Verma</t>
  </si>
  <si>
    <t>Sneha Das</t>
  </si>
  <si>
    <t>Amit sharma</t>
  </si>
  <si>
    <t>month</t>
  </si>
  <si>
    <t>monthly_revenue</t>
  </si>
  <si>
    <t>total_revenue</t>
  </si>
  <si>
    <t>customer_segment</t>
  </si>
  <si>
    <t>Low Value</t>
  </si>
  <si>
    <t>High Value</t>
  </si>
  <si>
    <t>Row Labels</t>
  </si>
  <si>
    <t>Grand Total</t>
  </si>
  <si>
    <t>Sum of city_revenue</t>
  </si>
  <si>
    <t>NOTE: changed data types of each column</t>
  </si>
  <si>
    <t>Sum of total_revenue</t>
  </si>
  <si>
    <t>Column Labels</t>
  </si>
  <si>
    <t>Mid Value</t>
  </si>
  <si>
    <t>Sum of monthly_revenue</t>
  </si>
  <si>
    <t>Monthly Revenue</t>
  </si>
  <si>
    <t>City wise revenue</t>
  </si>
  <si>
    <t>Customer segment</t>
  </si>
  <si>
    <t>Total Revenue discounted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</si>
</sst>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[Retail_Revenue_Excel_Validation.xlsx]raw_city_revenue!PivotTable1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raw_city_revenue!$H$3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raw_city_revenue!$G$4:$G$7</c:f>
              <c:strCache>
                <c:ptCount val="3"/>
                <c:pt idx="0">
                  <c:v>Kolkata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raw_city_revenue!$H$4:$H$7</c:f>
              <c:numCache>
                <c:formatCode>General</c:formatCode>
                <c:ptCount val="3"/>
                <c:pt idx="0">
                  <c:v>16250</c:v>
                </c:pt>
                <c:pt idx="1">
                  <c:v>3800</c:v>
                </c:pt>
                <c:pt idx="2">
                  <c:v>3750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[Retail_Revenue_Excel_Validation.xlsx]raw_customer_segment!PivotTable4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layout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howLegendKey val="0"/>
          <c:showVal val="1"/>
          <c:showCatName val="1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raw_customer_segment!$B$11:$B$12</c:f>
              <c:strCache>
                <c:ptCount val="1"/>
                <c:pt idx="0">
                  <c:v>High Value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raw_customer_segment!$A$13:$A$19</c:f>
              <c:strCache>
                <c:ptCount val="6"/>
                <c:pt idx="0">
                  <c:v>Ankit Pal</c:v>
                </c:pt>
                <c:pt idx="1">
                  <c:v>Amit sharma</c:v>
                </c:pt>
                <c:pt idx="2">
                  <c:v>Sneha Das</c:v>
                </c:pt>
                <c:pt idx="3">
                  <c:v>Pooja Mehta</c:v>
                </c:pt>
                <c:pt idx="4">
                  <c:v>Rohit Verma</c:v>
                </c:pt>
                <c:pt idx="5">
                  <c:v>Neha Singh</c:v>
                </c:pt>
              </c:strCache>
            </c:strRef>
          </c:cat>
          <c:val>
            <c:numRef>
              <c:f>raw_customer_segment!$B$13:$B$19</c:f>
              <c:numCache>
                <c:formatCode>General</c:formatCode>
                <c:ptCount val="6"/>
                <c:pt idx="0">
                  <c:v>3100</c:v>
                </c:pt>
              </c:numCache>
            </c:numRef>
          </c:val>
        </c:ser>
        <c:ser>
          <c:idx val="1"/>
          <c:order val="1"/>
          <c:tx>
            <c:strRef>
              <c:f>raw_customer_segment!$C$11:$C$12</c:f>
              <c:strCache>
                <c:ptCount val="1"/>
                <c:pt idx="0">
                  <c:v>Low Value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raw_customer_segment!$A$13:$A$19</c:f>
              <c:strCache>
                <c:ptCount val="6"/>
                <c:pt idx="0">
                  <c:v>Ankit Pal</c:v>
                </c:pt>
                <c:pt idx="1">
                  <c:v>Amit sharma</c:v>
                </c:pt>
                <c:pt idx="2">
                  <c:v>Sneha Das</c:v>
                </c:pt>
                <c:pt idx="3">
                  <c:v>Pooja Mehta</c:v>
                </c:pt>
                <c:pt idx="4">
                  <c:v>Rohit Verma</c:v>
                </c:pt>
                <c:pt idx="5">
                  <c:v>Neha Singh</c:v>
                </c:pt>
              </c:strCache>
            </c:strRef>
          </c:cat>
          <c:val>
            <c:numRef>
              <c:f>raw_customer_segment!$C$13:$C$19</c:f>
              <c:numCache>
                <c:formatCode>General</c:formatCode>
                <c:ptCount val="6"/>
                <c:pt idx="3">
                  <c:v>470</c:v>
                </c:pt>
                <c:pt idx="4">
                  <c:v>270</c:v>
                </c:pt>
                <c:pt idx="5">
                  <c:v>240</c:v>
                </c:pt>
              </c:numCache>
            </c:numRef>
          </c:val>
        </c:ser>
        <c:ser>
          <c:idx val="2"/>
          <c:order val="2"/>
          <c:tx>
            <c:strRef>
              <c:f>raw_customer_segment!$D$11:$D$12</c:f>
              <c:strCache>
                <c:ptCount val="1"/>
                <c:pt idx="0">
                  <c:v>Mid Value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raw_customer_segment!$A$13:$A$19</c:f>
              <c:strCache>
                <c:ptCount val="6"/>
                <c:pt idx="0">
                  <c:v>Ankit Pal</c:v>
                </c:pt>
                <c:pt idx="1">
                  <c:v>Amit sharma</c:v>
                </c:pt>
                <c:pt idx="2">
                  <c:v>Sneha Das</c:v>
                </c:pt>
                <c:pt idx="3">
                  <c:v>Pooja Mehta</c:v>
                </c:pt>
                <c:pt idx="4">
                  <c:v>Rohit Verma</c:v>
                </c:pt>
                <c:pt idx="5">
                  <c:v>Neha Singh</c:v>
                </c:pt>
              </c:strCache>
            </c:strRef>
          </c:cat>
          <c:val>
            <c:numRef>
              <c:f>raw_customer_segment!$D$13:$D$19</c:f>
              <c:numCache>
                <c:formatCode>General</c:formatCode>
                <c:ptCount val="6"/>
                <c:pt idx="1">
                  <c:v>860</c:v>
                </c:pt>
                <c:pt idx="2">
                  <c:v>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91200"/>
        <c:axId val="157492736"/>
      </c:barChart>
      <c:catAx>
        <c:axId val="157491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57492736"/>
        <c:crosses val="autoZero"/>
        <c:auto val="1"/>
        <c:lblAlgn val="ctr"/>
        <c:lblOffset val="100"/>
        <c:noMultiLvlLbl val="0"/>
      </c:catAx>
      <c:valAx>
        <c:axId val="15749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491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[Retail_Revenue_Excel_Validation.xlsx]raw_monthly_reveue!PivotTable6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raw_monthly_reveue!$E$2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raw_monthly_reveue!$D$3:$D$8</c:f>
              <c:strCache>
                <c:ptCount val="5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</c:strCache>
            </c:strRef>
          </c:cat>
          <c:val>
            <c:numRef>
              <c:f>raw_monthly_reveue!$E$3:$E$8</c:f>
              <c:numCache>
                <c:formatCode>General</c:formatCode>
                <c:ptCount val="5"/>
                <c:pt idx="0">
                  <c:v>3570</c:v>
                </c:pt>
                <c:pt idx="1">
                  <c:v>860</c:v>
                </c:pt>
                <c:pt idx="2">
                  <c:v>850</c:v>
                </c:pt>
                <c:pt idx="3">
                  <c:v>270</c:v>
                </c:pt>
                <c:pt idx="4">
                  <c:v>240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570560"/>
        <c:axId val="157572096"/>
      </c:barChart>
      <c:catAx>
        <c:axId val="157570560"/>
        <c:scaling>
          <c:orientation val="minMax"/>
        </c:scaling>
        <c:delete val="0"/>
        <c:axPos val="b"/>
        <c:majorTickMark val="out"/>
        <c:minorTickMark val="none"/>
        <c:tickLblPos val="nextTo"/>
        <c:crossAx val="157572096"/>
        <c:crosses val="autoZero"/>
        <c:auto val="1"/>
        <c:lblAlgn val="ctr"/>
        <c:lblOffset val="100"/>
        <c:noMultiLvlLbl val="0"/>
      </c:catAx>
      <c:valAx>
        <c:axId val="15757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570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[Retail_Revenue_Excel_Validation.xlsx]raw_customer_segment!PivotTable4</c:name>
    <c:fmtId val="2"/>
  </c:pivotSource>
  <c:chart>
    <c:autoTitleDeleted val="0"/>
    <c:pivotFmts>
      <c:pivotFmt>
        <c:idx val="0"/>
        <c:dLbl>
          <c:idx val="0"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9"/>
        <c:dLbl>
          <c:idx val="0"/>
          <c:layout>
            <c:manualLayout>
              <c:x val="4.0749796251018742E-3"/>
              <c:y val="0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0"/>
        <c:dLbl>
          <c:idx val="0"/>
          <c:layout>
            <c:manualLayout>
              <c:x val="-2.4449877750611249E-2"/>
              <c:y val="1.2722646310432569E-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1.6300239364944909E-2"/>
              <c:y val="-5.7251908396946563E-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0"/>
              <c:y val="1.9083969465648856E-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4692675946069089"/>
          <c:y val="6.4265392398469276E-2"/>
          <c:w val="0.80824846466318845"/>
          <c:h val="0.6923714211296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raw_customer_segment!$B$11:$B$12</c:f>
              <c:strCache>
                <c:ptCount val="1"/>
                <c:pt idx="0">
                  <c:v>High Value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raw_customer_segment!$A$13:$A$19</c:f>
              <c:strCache>
                <c:ptCount val="6"/>
                <c:pt idx="0">
                  <c:v>Ankit Pal</c:v>
                </c:pt>
                <c:pt idx="1">
                  <c:v>Amit sharma</c:v>
                </c:pt>
                <c:pt idx="2">
                  <c:v>Sneha Das</c:v>
                </c:pt>
                <c:pt idx="3">
                  <c:v>Pooja Mehta</c:v>
                </c:pt>
                <c:pt idx="4">
                  <c:v>Rohit Verma</c:v>
                </c:pt>
                <c:pt idx="5">
                  <c:v>Neha Singh</c:v>
                </c:pt>
              </c:strCache>
            </c:strRef>
          </c:cat>
          <c:val>
            <c:numRef>
              <c:f>raw_customer_segment!$B$13:$B$19</c:f>
              <c:numCache>
                <c:formatCode>General</c:formatCode>
                <c:ptCount val="6"/>
                <c:pt idx="0">
                  <c:v>3100</c:v>
                </c:pt>
              </c:numCache>
            </c:numRef>
          </c:val>
        </c:ser>
        <c:ser>
          <c:idx val="1"/>
          <c:order val="1"/>
          <c:tx>
            <c:strRef>
              <c:f>raw_customer_segment!$C$11:$C$12</c:f>
              <c:strCache>
                <c:ptCount val="1"/>
                <c:pt idx="0">
                  <c:v>Low Value</c:v>
                </c:pt>
              </c:strCache>
            </c:strRef>
          </c:tx>
          <c:invertIfNegative val="0"/>
          <c:dLbls>
            <c:dLbl>
              <c:idx val="3"/>
              <c:layout>
                <c:manualLayout>
                  <c:x val="-1.6300239364944909E-2"/>
                  <c:y val="-5.72519083969465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"/>
                  <c:y val="1.90839694656488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2.4449877750611249E-2"/>
                  <c:y val="1.272264631043256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raw_customer_segment!$A$13:$A$19</c:f>
              <c:strCache>
                <c:ptCount val="6"/>
                <c:pt idx="0">
                  <c:v>Ankit Pal</c:v>
                </c:pt>
                <c:pt idx="1">
                  <c:v>Amit sharma</c:v>
                </c:pt>
                <c:pt idx="2">
                  <c:v>Sneha Das</c:v>
                </c:pt>
                <c:pt idx="3">
                  <c:v>Pooja Mehta</c:v>
                </c:pt>
                <c:pt idx="4">
                  <c:v>Rohit Verma</c:v>
                </c:pt>
                <c:pt idx="5">
                  <c:v>Neha Singh</c:v>
                </c:pt>
              </c:strCache>
            </c:strRef>
          </c:cat>
          <c:val>
            <c:numRef>
              <c:f>raw_customer_segment!$C$13:$C$19</c:f>
              <c:numCache>
                <c:formatCode>General</c:formatCode>
                <c:ptCount val="6"/>
                <c:pt idx="3">
                  <c:v>470</c:v>
                </c:pt>
                <c:pt idx="4">
                  <c:v>270</c:v>
                </c:pt>
                <c:pt idx="5">
                  <c:v>240</c:v>
                </c:pt>
              </c:numCache>
            </c:numRef>
          </c:val>
        </c:ser>
        <c:ser>
          <c:idx val="2"/>
          <c:order val="2"/>
          <c:tx>
            <c:strRef>
              <c:f>raw_customer_segment!$D$11:$D$12</c:f>
              <c:strCache>
                <c:ptCount val="1"/>
                <c:pt idx="0">
                  <c:v>Mid Value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4.0749796251018742E-3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raw_customer_segment!$A$13:$A$19</c:f>
              <c:strCache>
                <c:ptCount val="6"/>
                <c:pt idx="0">
                  <c:v>Ankit Pal</c:v>
                </c:pt>
                <c:pt idx="1">
                  <c:v>Amit sharma</c:v>
                </c:pt>
                <c:pt idx="2">
                  <c:v>Sneha Das</c:v>
                </c:pt>
                <c:pt idx="3">
                  <c:v>Pooja Mehta</c:v>
                </c:pt>
                <c:pt idx="4">
                  <c:v>Rohit Verma</c:v>
                </c:pt>
                <c:pt idx="5">
                  <c:v>Neha Singh</c:v>
                </c:pt>
              </c:strCache>
            </c:strRef>
          </c:cat>
          <c:val>
            <c:numRef>
              <c:f>raw_customer_segment!$D$13:$D$19</c:f>
              <c:numCache>
                <c:formatCode>General</c:formatCode>
                <c:ptCount val="6"/>
                <c:pt idx="1">
                  <c:v>860</c:v>
                </c:pt>
                <c:pt idx="2">
                  <c:v>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43264"/>
        <c:axId val="158844800"/>
      </c:barChart>
      <c:catAx>
        <c:axId val="158843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58844800"/>
        <c:crosses val="autoZero"/>
        <c:auto val="1"/>
        <c:lblAlgn val="ctr"/>
        <c:lblOffset val="100"/>
        <c:noMultiLvlLbl val="0"/>
      </c:catAx>
      <c:valAx>
        <c:axId val="158844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8432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[Retail_Revenue_Excel_Validation.xlsx]raw_city_revenue!PivotTable1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raw_city_revenue!$H$3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raw_city_revenue!$G$4:$G$7</c:f>
              <c:strCache>
                <c:ptCount val="3"/>
                <c:pt idx="0">
                  <c:v>Kolkata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raw_city_revenue!$H$4:$H$7</c:f>
              <c:numCache>
                <c:formatCode>General</c:formatCode>
                <c:ptCount val="3"/>
                <c:pt idx="0">
                  <c:v>16250</c:v>
                </c:pt>
                <c:pt idx="1">
                  <c:v>3800</c:v>
                </c:pt>
                <c:pt idx="2">
                  <c:v>3750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[Retail_Revenue_Excel_Validation.xlsx]raw_monthly_reveue!PivotTable6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raw_monthly_reveue!$E$2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raw_monthly_reveue!$D$3:$D$8</c:f>
              <c:strCache>
                <c:ptCount val="5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</c:strCache>
            </c:strRef>
          </c:cat>
          <c:val>
            <c:numRef>
              <c:f>raw_monthly_reveue!$E$3:$E$8</c:f>
              <c:numCache>
                <c:formatCode>General</c:formatCode>
                <c:ptCount val="5"/>
                <c:pt idx="0">
                  <c:v>3570</c:v>
                </c:pt>
                <c:pt idx="1">
                  <c:v>860</c:v>
                </c:pt>
                <c:pt idx="2">
                  <c:v>850</c:v>
                </c:pt>
                <c:pt idx="3">
                  <c:v>270</c:v>
                </c:pt>
                <c:pt idx="4">
                  <c:v>240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97280"/>
        <c:axId val="158898816"/>
      </c:barChart>
      <c:catAx>
        <c:axId val="158897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58898816"/>
        <c:crosses val="autoZero"/>
        <c:auto val="1"/>
        <c:lblAlgn val="ctr"/>
        <c:lblOffset val="100"/>
        <c:noMultiLvlLbl val="0"/>
      </c:catAx>
      <c:valAx>
        <c:axId val="15889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897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8</xdr:row>
      <xdr:rowOff>148590</xdr:rowOff>
    </xdr:from>
    <xdr:to>
      <xdr:col>11</xdr:col>
      <xdr:colOff>60960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80010</xdr:rowOff>
    </xdr:from>
    <xdr:to>
      <xdr:col>13</xdr:col>
      <xdr:colOff>342900</xdr:colOff>
      <xdr:row>18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1021080</xdr:colOff>
      <xdr:row>8</xdr:row>
      <xdr:rowOff>148590</xdr:rowOff>
    </xdr:from>
    <xdr:to>
      <xdr:col>11</xdr:col>
      <xdr:colOff>373380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13</xdr:row>
      <xdr:rowOff>38100</xdr:rowOff>
    </xdr:from>
    <xdr:to>
      <xdr:col>12</xdr:col>
      <xdr:colOff>60960</xdr:colOff>
      <xdr:row>24</xdr:row>
      <xdr:rowOff>22860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472440</xdr:colOff>
      <xdr:row>13</xdr:row>
      <xdr:rowOff>22860</xdr:rowOff>
    </xdr:from>
    <xdr:to>
      <xdr:col>6</xdr:col>
      <xdr:colOff>342900</xdr:colOff>
      <xdr:row>24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198120</xdr:colOff>
      <xdr:row>13</xdr:row>
      <xdr:rowOff>53340</xdr:rowOff>
    </xdr:from>
    <xdr:to>
      <xdr:col>3</xdr:col>
      <xdr:colOff>266700</xdr:colOff>
      <xdr:row>24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smail - [2010]" refreshedDate="46020.723726851851" createdVersion="4" refreshedVersion="4" minRefreshableVersion="3" recordCount="3">
  <cacheSource type="worksheet">
    <worksheetSource ref="A1:B7" sheet="raw_city_revenue"/>
  </cacheSource>
  <cacheFields count="2">
    <cacheField name="city" numFmtId="0">
      <sharedItems count="3">
        <s v="Delhi"/>
        <s v="Kolkata"/>
        <s v="Mumbai"/>
      </sharedItems>
    </cacheField>
    <cacheField name="city_revenue" numFmtId="0">
      <sharedItems containsSemiMixedTypes="0" containsString="0" containsNumber="1" containsInteger="1" minValue="3750" maxValue="16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smail - [2010]" refreshedDate="46020.73254409722" createdVersion="4" refreshedVersion="4" minRefreshableVersion="3" recordCount="6">
  <cacheSource type="worksheet">
    <worksheetSource ref="A1:D7" sheet="raw_customer_segment"/>
  </cacheSource>
  <cacheFields count="4">
    <cacheField name="customer_id" numFmtId="0">
      <sharedItems containsSemiMixedTypes="0" containsString="0" containsNumber="1" containsInteger="1" minValue="1" maxValue="6"/>
    </cacheField>
    <cacheField name="customer_name" numFmtId="0">
      <sharedItems count="6">
        <s v="Amit sharma"/>
        <s v="Ankit Pal"/>
        <s v="Sneha Das"/>
        <s v="Neha Singh"/>
        <s v="Pooja Mehta"/>
        <s v="Rohit Verma"/>
      </sharedItems>
    </cacheField>
    <cacheField name="total_revenue" numFmtId="0">
      <sharedItems containsSemiMixedTypes="0" containsString="0" containsNumber="1" containsInteger="1" minValue="240" maxValue="3100"/>
    </cacheField>
    <cacheField name="customer_segment" numFmtId="0">
      <sharedItems count="3">
        <s v="Mid Value"/>
        <s v="High Value"/>
        <s v="Low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ismail - [2010]" refreshedDate="46020.792963425927" createdVersion="4" refreshedVersion="4" minRefreshableVersion="3" recordCount="5">
  <cacheSource type="worksheet">
    <worksheetSource ref="A1:B6" sheet="raw_monthly_reveue"/>
  </cacheSource>
  <cacheFields count="2">
    <cacheField name="month" numFmtId="0">
      <sharedItems containsSemiMixedTypes="0" containsString="0" containsNumber="1" containsInteger="1" minValue="2" maxValue="6" count="5">
        <n v="2"/>
        <n v="3"/>
        <n v="4"/>
        <n v="5"/>
        <n v="6"/>
      </sharedItems>
    </cacheField>
    <cacheField name="monthly_revenue" numFmtId="0">
      <sharedItems containsSemiMixedTypes="0" containsString="0" containsNumber="1" containsInteger="1" minValue="240" maxValue="35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3800"/>
  </r>
  <r>
    <x v="1"/>
    <n v="16250"/>
  </r>
  <r>
    <x v="2"/>
    <n v="37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n v="1"/>
    <x v="0"/>
    <n v="860"/>
    <x v="0"/>
  </r>
  <r>
    <n v="5"/>
    <x v="1"/>
    <n v="3100"/>
    <x v="1"/>
  </r>
  <r>
    <n v="2"/>
    <x v="2"/>
    <n v="850"/>
    <x v="0"/>
  </r>
  <r>
    <n v="6"/>
    <x v="3"/>
    <n v="240"/>
    <x v="2"/>
  </r>
  <r>
    <n v="4"/>
    <x v="4"/>
    <n v="470"/>
    <x v="2"/>
  </r>
  <r>
    <n v="3"/>
    <x v="5"/>
    <n v="27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n v="240"/>
  </r>
  <r>
    <x v="1"/>
    <n v="270"/>
  </r>
  <r>
    <x v="2"/>
    <n v="860"/>
  </r>
  <r>
    <x v="3"/>
    <n v="850"/>
  </r>
  <r>
    <x v="4"/>
    <n v="35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7" firstHeaderRow="1" firstDataRow="1" firstDataCol="1"/>
  <pivotFields count="2"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ity_revenu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1:E19" firstHeaderRow="1" firstDataRow="2" firstDataCol="1"/>
  <pivotFields count="4">
    <pivotField showAll="0"/>
    <pivotField axis="axisRow" showAll="0" sortType="descending">
      <items count="7">
        <item x="2"/>
        <item x="5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showAll="0" sortType="ascending">
      <items count="4">
        <item x="1"/>
        <item x="2"/>
        <item x="0"/>
        <item t="default"/>
      </items>
    </pivotField>
  </pivotFields>
  <rowFields count="1">
    <field x="1"/>
  </rowFields>
  <rowItems count="7">
    <i>
      <x v="4"/>
    </i>
    <i>
      <x v="5"/>
    </i>
    <i>
      <x/>
    </i>
    <i>
      <x v="2"/>
    </i>
    <i>
      <x v="1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_revenue" fld="2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2:E8" firstHeaderRow="1" firstDataRow="1" firstDataCol="1"/>
  <pivotFields count="2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monthly_revenu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L11" firstHeaderRow="1" firstDataRow="2" firstDataCol="1"/>
  <pivotFields count="4">
    <pivotField showAll="0"/>
    <pivotField axis="axisRow" showAll="0" sortType="ascending">
      <items count="7">
        <item x="0"/>
        <item x="1"/>
        <item x="3"/>
        <item x="4"/>
        <item x="5"/>
        <item x="2"/>
        <item t="default"/>
      </items>
    </pivotField>
    <pivotField dataField="1" showAll="0"/>
    <pivotField axis="axisCol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 v="2"/>
    </i>
    <i>
      <x/>
    </i>
    <i>
      <x v="1"/>
    </i>
    <i t="grand">
      <x/>
    </i>
  </colItems>
  <dataFields count="1">
    <dataField name="Sum of total_revenue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3:F7" firstHeaderRow="1" firstDataRow="1" firstDataCol="1"/>
  <pivotFields count="2"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ity_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3:C9" firstHeaderRow="1" firstDataRow="1" firstDataCol="1"/>
  <pivotFields count="2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monthly_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ity_revenu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ity_revenue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ustomers_revenu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onthly_revenue" connectionId="4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2" name="Table2" displayName="Table2" ref="A1:C3" totalsRowShown="0">
  <autoFilter ref="A1:C3"/>
  <tableColumns count="3">
    <tableColumn id="1" name="customer_id" dataDxfId="2"/>
    <tableColumn id="2" name="customer_name" dataDxfId="1"/>
    <tableColumn id="3" name="cit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D7" totalsRowShown="0">
  <autoFilter ref="A1:D7"/>
  <sortState ref="A2:D7">
    <sortCondition ref="D1:D7"/>
  </sortState>
  <tableColumns count="4">
    <tableColumn id="1" name="customer_id"/>
    <tableColumn id="2" name="customer_name"/>
    <tableColumn id="3" name="total_revenue"/>
    <tableColumn id="4" name="customer_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3" sqref="G3:H7"/>
    </sheetView>
  </sheetViews>
  <sheetFormatPr defaultRowHeight="14.4" x14ac:dyDescent="0.3"/>
  <cols>
    <col min="1" max="1" width="7.6640625" customWidth="1"/>
    <col min="2" max="2" width="11.44140625" customWidth="1"/>
    <col min="3" max="3" width="12.44140625" customWidth="1"/>
    <col min="4" max="4" width="16.6640625" customWidth="1"/>
    <col min="7" max="7" width="12.5546875" bestFit="1" customWidth="1"/>
    <col min="8" max="8" width="18.5546875" bestFit="1" customWidth="1"/>
  </cols>
  <sheetData>
    <row r="1" spans="1:8" x14ac:dyDescent="0.3">
      <c r="A1" s="6" t="s">
        <v>5</v>
      </c>
      <c r="B1" s="5" t="s">
        <v>6</v>
      </c>
      <c r="C1" s="5" t="s">
        <v>16</v>
      </c>
      <c r="D1" s="5" t="s">
        <v>17</v>
      </c>
    </row>
    <row r="2" spans="1:8" x14ac:dyDescent="0.3">
      <c r="A2" s="6">
        <v>1</v>
      </c>
      <c r="B2" s="5" t="s">
        <v>13</v>
      </c>
      <c r="C2" s="5">
        <v>860</v>
      </c>
      <c r="D2" s="5" t="s">
        <v>18</v>
      </c>
    </row>
    <row r="3" spans="1:8" x14ac:dyDescent="0.3">
      <c r="A3" s="6">
        <v>5</v>
      </c>
      <c r="B3" s="5" t="s">
        <v>9</v>
      </c>
      <c r="C3" s="5">
        <v>3100</v>
      </c>
      <c r="D3" s="5" t="s">
        <v>19</v>
      </c>
      <c r="G3" s="1" t="s">
        <v>20</v>
      </c>
      <c r="H3" t="s">
        <v>22</v>
      </c>
    </row>
    <row r="4" spans="1:8" x14ac:dyDescent="0.3">
      <c r="A4" s="6">
        <v>2</v>
      </c>
      <c r="B4" s="5" t="s">
        <v>12</v>
      </c>
      <c r="C4" s="5">
        <v>850</v>
      </c>
      <c r="D4" s="5" t="s">
        <v>18</v>
      </c>
      <c r="G4" s="2" t="s">
        <v>3</v>
      </c>
      <c r="H4" s="3">
        <v>16250</v>
      </c>
    </row>
    <row r="5" spans="1:8" x14ac:dyDescent="0.3">
      <c r="A5" s="6">
        <v>6</v>
      </c>
      <c r="B5" s="5" t="s">
        <v>8</v>
      </c>
      <c r="C5" s="5">
        <v>240</v>
      </c>
      <c r="D5" s="5" t="s">
        <v>18</v>
      </c>
      <c r="G5" s="2" t="s">
        <v>2</v>
      </c>
      <c r="H5" s="3">
        <v>3800</v>
      </c>
    </row>
    <row r="6" spans="1:8" x14ac:dyDescent="0.3">
      <c r="A6" s="6">
        <v>4</v>
      </c>
      <c r="B6" s="5" t="s">
        <v>10</v>
      </c>
      <c r="C6" s="5">
        <v>470</v>
      </c>
      <c r="D6" s="5" t="s">
        <v>18</v>
      </c>
      <c r="G6" s="2" t="s">
        <v>4</v>
      </c>
      <c r="H6" s="3">
        <v>3750</v>
      </c>
    </row>
    <row r="7" spans="1:8" x14ac:dyDescent="0.3">
      <c r="A7" s="6">
        <v>3</v>
      </c>
      <c r="B7" s="5" t="s">
        <v>11</v>
      </c>
      <c r="C7" s="5">
        <v>270</v>
      </c>
      <c r="D7" s="5" t="s">
        <v>18</v>
      </c>
      <c r="G7" s="2" t="s">
        <v>21</v>
      </c>
      <c r="H7" s="3">
        <v>23800</v>
      </c>
    </row>
    <row r="10" spans="1:8" x14ac:dyDescent="0.3">
      <c r="A10" t="s">
        <v>0</v>
      </c>
      <c r="B10" t="s">
        <v>1</v>
      </c>
    </row>
    <row r="11" spans="1:8" x14ac:dyDescent="0.3">
      <c r="A11" t="s">
        <v>2</v>
      </c>
      <c r="B11">
        <v>3800</v>
      </c>
    </row>
    <row r="12" spans="1:8" x14ac:dyDescent="0.3">
      <c r="A12" t="s">
        <v>3</v>
      </c>
      <c r="B12">
        <v>16250</v>
      </c>
    </row>
    <row r="13" spans="1:8" x14ac:dyDescent="0.3">
      <c r="A13" t="s">
        <v>4</v>
      </c>
      <c r="B13">
        <v>3750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"/>
  <sheetViews>
    <sheetView workbookViewId="0">
      <selection activeCell="B15" sqref="B15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7.6640625" bestFit="1" customWidth="1"/>
    <col min="4" max="4" width="16.33203125" bestFit="1" customWidth="1"/>
  </cols>
  <sheetData>
    <row r="1" spans="1:8" x14ac:dyDescent="0.3">
      <c r="A1" s="4" t="s">
        <v>5</v>
      </c>
      <c r="B1" s="6" t="s">
        <v>6</v>
      </c>
      <c r="C1" s="6" t="s">
        <v>0</v>
      </c>
      <c r="D1" s="5" t="s">
        <v>7</v>
      </c>
      <c r="F1">
        <f>LEN(A2)-LEN(TRIM(A2))</f>
        <v>0</v>
      </c>
    </row>
    <row r="2" spans="1:8" x14ac:dyDescent="0.3">
      <c r="A2" s="4">
        <v>1</v>
      </c>
      <c r="B2" s="6" t="s">
        <v>13</v>
      </c>
      <c r="C2" s="6" t="s">
        <v>3</v>
      </c>
      <c r="D2" s="5">
        <v>860</v>
      </c>
      <c r="F2">
        <f t="shared" ref="F2:F7" si="0">LEN(A3)-LEN(TRIM(A3))</f>
        <v>0</v>
      </c>
      <c r="G2" s="5">
        <f>SUM(D:D)</f>
        <v>5790</v>
      </c>
    </row>
    <row r="3" spans="1:8" x14ac:dyDescent="0.3">
      <c r="A3" s="4">
        <v>5</v>
      </c>
      <c r="B3" s="6" t="s">
        <v>9</v>
      </c>
      <c r="C3" s="6" t="s">
        <v>3</v>
      </c>
      <c r="D3" s="5">
        <v>3100</v>
      </c>
      <c r="F3">
        <f t="shared" si="0"/>
        <v>0</v>
      </c>
      <c r="H3">
        <f>COUNTA(A2:A7)</f>
        <v>6</v>
      </c>
    </row>
    <row r="4" spans="1:8" x14ac:dyDescent="0.3">
      <c r="A4" s="4">
        <v>2</v>
      </c>
      <c r="B4" s="6" t="s">
        <v>12</v>
      </c>
      <c r="C4" s="6" t="s">
        <v>3</v>
      </c>
      <c r="D4" s="5">
        <v>850</v>
      </c>
      <c r="F4">
        <f t="shared" si="0"/>
        <v>0</v>
      </c>
      <c r="G4">
        <f>COUNTIF(A:A, A2)</f>
        <v>1</v>
      </c>
    </row>
    <row r="5" spans="1:8" x14ac:dyDescent="0.3">
      <c r="A5" s="4">
        <v>6</v>
      </c>
      <c r="B5" s="6" t="s">
        <v>8</v>
      </c>
      <c r="C5" s="6" t="s">
        <v>2</v>
      </c>
      <c r="D5" s="5">
        <v>240</v>
      </c>
      <c r="F5">
        <f t="shared" si="0"/>
        <v>0</v>
      </c>
      <c r="G5">
        <f t="shared" ref="G5:G9" si="1">COUNTIF(A:A, A3)</f>
        <v>1</v>
      </c>
    </row>
    <row r="6" spans="1:8" x14ac:dyDescent="0.3">
      <c r="A6" s="4">
        <v>4</v>
      </c>
      <c r="B6" s="6" t="s">
        <v>10</v>
      </c>
      <c r="C6" s="6" t="s">
        <v>4</v>
      </c>
      <c r="D6" s="5">
        <v>470</v>
      </c>
      <c r="F6">
        <f t="shared" si="0"/>
        <v>0</v>
      </c>
      <c r="G6">
        <f t="shared" si="1"/>
        <v>1</v>
      </c>
    </row>
    <row r="7" spans="1:8" x14ac:dyDescent="0.3">
      <c r="A7" s="4">
        <v>3</v>
      </c>
      <c r="B7" s="6" t="s">
        <v>11</v>
      </c>
      <c r="C7" s="6" t="s">
        <v>2</v>
      </c>
      <c r="D7" s="5">
        <v>270</v>
      </c>
      <c r="F7">
        <f t="shared" si="0"/>
        <v>0</v>
      </c>
      <c r="G7">
        <f t="shared" si="1"/>
        <v>1</v>
      </c>
    </row>
    <row r="8" spans="1:8" x14ac:dyDescent="0.3">
      <c r="G8">
        <f t="shared" si="1"/>
        <v>1</v>
      </c>
    </row>
    <row r="9" spans="1:8" x14ac:dyDescent="0.3">
      <c r="G9">
        <f t="shared" si="1"/>
        <v>1</v>
      </c>
    </row>
    <row r="11" spans="1:8" x14ac:dyDescent="0.3">
      <c r="A11" t="s">
        <v>23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3" sqref="E3"/>
    </sheetView>
  </sheetViews>
  <sheetFormatPr defaultRowHeight="14.4" x14ac:dyDescent="0.3"/>
  <cols>
    <col min="1" max="1" width="13.33203125" customWidth="1"/>
    <col min="2" max="2" width="16.5546875" customWidth="1"/>
    <col min="3" max="3" width="5.88671875" customWidth="1"/>
  </cols>
  <sheetData>
    <row r="1" spans="1:5" x14ac:dyDescent="0.3">
      <c r="A1" s="5" t="s">
        <v>5</v>
      </c>
      <c r="B1" s="6" t="s">
        <v>6</v>
      </c>
      <c r="C1" s="6" t="s">
        <v>0</v>
      </c>
    </row>
    <row r="2" spans="1:5" x14ac:dyDescent="0.3">
      <c r="A2" s="5">
        <v>3</v>
      </c>
      <c r="B2" s="6" t="s">
        <v>11</v>
      </c>
      <c r="C2" s="6" t="s">
        <v>2</v>
      </c>
      <c r="E2">
        <f>COUNTA(raw_inactive_customers!A:A)</f>
        <v>3</v>
      </c>
    </row>
    <row r="3" spans="1:5" x14ac:dyDescent="0.3">
      <c r="A3" s="5">
        <v>6</v>
      </c>
      <c r="B3" s="6" t="s">
        <v>8</v>
      </c>
      <c r="C3" s="6" t="s">
        <v>2</v>
      </c>
      <c r="E3">
        <f>COUNTA(raw_inactive_customers!A:A )</f>
        <v>3</v>
      </c>
    </row>
    <row r="4" spans="1:5" x14ac:dyDescent="0.3">
      <c r="E4">
        <f>COUNTA(A2:A3)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M24" sqref="M24"/>
    </sheetView>
  </sheetViews>
  <sheetFormatPr defaultRowHeight="14.4" x14ac:dyDescent="0.3"/>
  <cols>
    <col min="1" max="1" width="19.44140625" customWidth="1"/>
    <col min="2" max="2" width="15.5546875" customWidth="1"/>
    <col min="3" max="3" width="9.6640625" customWidth="1"/>
    <col min="4" max="4" width="9.5546875" customWidth="1"/>
    <col min="5" max="5" width="10.77734375" bestFit="1" customWidth="1"/>
  </cols>
  <sheetData>
    <row r="1" spans="1:5" x14ac:dyDescent="0.3">
      <c r="A1" t="s">
        <v>5</v>
      </c>
      <c r="B1" t="s">
        <v>6</v>
      </c>
      <c r="C1" t="s">
        <v>16</v>
      </c>
      <c r="D1" t="s">
        <v>17</v>
      </c>
    </row>
    <row r="2" spans="1:5" x14ac:dyDescent="0.3">
      <c r="A2">
        <v>5</v>
      </c>
      <c r="B2" t="s">
        <v>9</v>
      </c>
      <c r="C2">
        <v>3100</v>
      </c>
      <c r="D2" t="s">
        <v>19</v>
      </c>
    </row>
    <row r="3" spans="1:5" x14ac:dyDescent="0.3">
      <c r="A3">
        <v>6</v>
      </c>
      <c r="B3" t="s">
        <v>8</v>
      </c>
      <c r="C3">
        <v>240</v>
      </c>
      <c r="D3" t="s">
        <v>18</v>
      </c>
    </row>
    <row r="4" spans="1:5" x14ac:dyDescent="0.3">
      <c r="A4">
        <v>4</v>
      </c>
      <c r="B4" t="s">
        <v>10</v>
      </c>
      <c r="C4">
        <v>470</v>
      </c>
      <c r="D4" t="s">
        <v>18</v>
      </c>
    </row>
    <row r="5" spans="1:5" x14ac:dyDescent="0.3">
      <c r="A5">
        <v>3</v>
      </c>
      <c r="B5" t="s">
        <v>11</v>
      </c>
      <c r="C5">
        <v>270</v>
      </c>
      <c r="D5" t="s">
        <v>18</v>
      </c>
    </row>
    <row r="6" spans="1:5" x14ac:dyDescent="0.3">
      <c r="A6">
        <v>1</v>
      </c>
      <c r="B6" t="s">
        <v>13</v>
      </c>
      <c r="C6">
        <v>860</v>
      </c>
      <c r="D6" t="s">
        <v>26</v>
      </c>
    </row>
    <row r="7" spans="1:5" x14ac:dyDescent="0.3">
      <c r="A7">
        <v>2</v>
      </c>
      <c r="B7" t="s">
        <v>12</v>
      </c>
      <c r="C7">
        <v>850</v>
      </c>
      <c r="D7" t="s">
        <v>26</v>
      </c>
    </row>
    <row r="10" spans="1:5" ht="9.6" customHeight="1" x14ac:dyDescent="0.3"/>
    <row r="11" spans="1:5" ht="18.600000000000001" customHeight="1" x14ac:dyDescent="0.3">
      <c r="A11" s="1" t="s">
        <v>24</v>
      </c>
      <c r="B11" s="1" t="s">
        <v>25</v>
      </c>
    </row>
    <row r="12" spans="1:5" x14ac:dyDescent="0.3">
      <c r="A12" s="1" t="s">
        <v>20</v>
      </c>
      <c r="B12" t="s">
        <v>19</v>
      </c>
      <c r="C12" t="s">
        <v>18</v>
      </c>
      <c r="D12" t="s">
        <v>26</v>
      </c>
      <c r="E12" t="s">
        <v>21</v>
      </c>
    </row>
    <row r="13" spans="1:5" x14ac:dyDescent="0.3">
      <c r="A13" s="2" t="s">
        <v>9</v>
      </c>
      <c r="B13" s="3">
        <v>3100</v>
      </c>
      <c r="C13" s="3"/>
      <c r="D13" s="3"/>
      <c r="E13" s="3">
        <v>3100</v>
      </c>
    </row>
    <row r="14" spans="1:5" x14ac:dyDescent="0.3">
      <c r="A14" s="2" t="s">
        <v>13</v>
      </c>
      <c r="B14" s="3"/>
      <c r="C14" s="3"/>
      <c r="D14" s="3">
        <v>860</v>
      </c>
      <c r="E14" s="3">
        <v>860</v>
      </c>
    </row>
    <row r="15" spans="1:5" x14ac:dyDescent="0.3">
      <c r="A15" s="2" t="s">
        <v>12</v>
      </c>
      <c r="B15" s="3"/>
      <c r="C15" s="3"/>
      <c r="D15" s="3">
        <v>850</v>
      </c>
      <c r="E15" s="3">
        <v>850</v>
      </c>
    </row>
    <row r="16" spans="1:5" x14ac:dyDescent="0.3">
      <c r="A16" s="2" t="s">
        <v>10</v>
      </c>
      <c r="B16" s="3"/>
      <c r="C16" s="3">
        <v>470</v>
      </c>
      <c r="D16" s="3"/>
      <c r="E16" s="3">
        <v>470</v>
      </c>
    </row>
    <row r="17" spans="1:5" x14ac:dyDescent="0.3">
      <c r="A17" s="2" t="s">
        <v>11</v>
      </c>
      <c r="B17" s="3"/>
      <c r="C17" s="3">
        <v>270</v>
      </c>
      <c r="D17" s="3"/>
      <c r="E17" s="3">
        <v>270</v>
      </c>
    </row>
    <row r="18" spans="1:5" x14ac:dyDescent="0.3">
      <c r="A18" s="2" t="s">
        <v>8</v>
      </c>
      <c r="B18" s="3"/>
      <c r="C18" s="3">
        <v>240</v>
      </c>
      <c r="D18" s="3"/>
      <c r="E18" s="3">
        <v>240</v>
      </c>
    </row>
    <row r="19" spans="1:5" x14ac:dyDescent="0.3">
      <c r="A19" s="2" t="s">
        <v>21</v>
      </c>
      <c r="B19" s="3">
        <v>3100</v>
      </c>
      <c r="C19" s="3">
        <v>980</v>
      </c>
      <c r="D19" s="3">
        <v>1710</v>
      </c>
      <c r="E19" s="3">
        <v>5790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7" sqref="E7"/>
    </sheetView>
  </sheetViews>
  <sheetFormatPr defaultRowHeight="14.4" x14ac:dyDescent="0.3"/>
  <cols>
    <col min="1" max="1" width="6.33203125" bestFit="1" customWidth="1"/>
    <col min="2" max="2" width="15.33203125" bestFit="1" customWidth="1"/>
    <col min="4" max="4" width="12.5546875" customWidth="1"/>
    <col min="5" max="5" width="22.77734375" bestFit="1" customWidth="1"/>
  </cols>
  <sheetData>
    <row r="1" spans="1:5" x14ac:dyDescent="0.3">
      <c r="A1" t="s">
        <v>14</v>
      </c>
      <c r="B1" t="s">
        <v>15</v>
      </c>
    </row>
    <row r="2" spans="1:5" x14ac:dyDescent="0.3">
      <c r="A2">
        <v>2</v>
      </c>
      <c r="B2">
        <v>240</v>
      </c>
      <c r="D2" s="1" t="s">
        <v>20</v>
      </c>
      <c r="E2" t="s">
        <v>27</v>
      </c>
    </row>
    <row r="3" spans="1:5" x14ac:dyDescent="0.3">
      <c r="A3">
        <v>3</v>
      </c>
      <c r="B3">
        <v>270</v>
      </c>
      <c r="D3" s="2">
        <v>6</v>
      </c>
      <c r="E3" s="3">
        <v>3570</v>
      </c>
    </row>
    <row r="4" spans="1:5" x14ac:dyDescent="0.3">
      <c r="A4">
        <v>4</v>
      </c>
      <c r="B4">
        <v>860</v>
      </c>
      <c r="D4" s="2">
        <v>4</v>
      </c>
      <c r="E4" s="3">
        <v>860</v>
      </c>
    </row>
    <row r="5" spans="1:5" x14ac:dyDescent="0.3">
      <c r="A5">
        <v>5</v>
      </c>
      <c r="B5">
        <v>850</v>
      </c>
      <c r="D5" s="2">
        <v>5</v>
      </c>
      <c r="E5" s="3">
        <v>850</v>
      </c>
    </row>
    <row r="6" spans="1:5" x14ac:dyDescent="0.3">
      <c r="A6">
        <v>6</v>
      </c>
      <c r="B6">
        <v>3570</v>
      </c>
      <c r="D6" s="2">
        <v>3</v>
      </c>
      <c r="E6" s="3">
        <v>270</v>
      </c>
    </row>
    <row r="7" spans="1:5" x14ac:dyDescent="0.3">
      <c r="D7" s="2">
        <v>2</v>
      </c>
      <c r="E7" s="3">
        <v>240</v>
      </c>
    </row>
    <row r="8" spans="1:5" x14ac:dyDescent="0.3">
      <c r="D8" s="2" t="s">
        <v>21</v>
      </c>
      <c r="E8" s="3">
        <v>5790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"/>
  <sheetViews>
    <sheetView workbookViewId="0">
      <selection activeCell="F11" sqref="F11"/>
    </sheetView>
  </sheetViews>
  <sheetFormatPr defaultRowHeight="14.4" x14ac:dyDescent="0.3"/>
  <cols>
    <col min="2" max="2" width="12.5546875" bestFit="1" customWidth="1"/>
    <col min="3" max="3" width="22.77734375" bestFit="1" customWidth="1"/>
    <col min="5" max="5" width="18" customWidth="1"/>
    <col min="6" max="6" width="18.5546875" bestFit="1" customWidth="1"/>
  </cols>
  <sheetData>
    <row r="1" spans="2:12" x14ac:dyDescent="0.3">
      <c r="B1" s="8" t="s">
        <v>28</v>
      </c>
      <c r="C1" s="8"/>
      <c r="E1" s="7" t="s">
        <v>29</v>
      </c>
      <c r="F1" s="7"/>
      <c r="H1" s="7" t="s">
        <v>30</v>
      </c>
      <c r="I1" s="7"/>
      <c r="J1" s="7"/>
      <c r="K1" s="7"/>
      <c r="L1" s="7"/>
    </row>
    <row r="2" spans="2:12" x14ac:dyDescent="0.3">
      <c r="B2" s="8"/>
      <c r="C2" s="8"/>
      <c r="E2" s="7"/>
      <c r="F2" s="7"/>
      <c r="H2" s="7"/>
      <c r="I2" s="7"/>
      <c r="J2" s="7"/>
      <c r="K2" s="7"/>
      <c r="L2" s="7"/>
    </row>
    <row r="3" spans="2:12" x14ac:dyDescent="0.3">
      <c r="B3" s="1" t="s">
        <v>20</v>
      </c>
      <c r="C3" t="s">
        <v>27</v>
      </c>
      <c r="E3" s="1" t="s">
        <v>20</v>
      </c>
      <c r="F3" t="s">
        <v>22</v>
      </c>
      <c r="H3" s="1" t="s">
        <v>24</v>
      </c>
      <c r="I3" s="1" t="s">
        <v>25</v>
      </c>
    </row>
    <row r="4" spans="2:12" x14ac:dyDescent="0.3">
      <c r="B4" s="2">
        <v>6</v>
      </c>
      <c r="C4" s="3">
        <v>3570</v>
      </c>
      <c r="E4" s="2" t="s">
        <v>3</v>
      </c>
      <c r="F4" s="3">
        <v>16250</v>
      </c>
      <c r="H4" s="1" t="s">
        <v>20</v>
      </c>
      <c r="I4" t="s">
        <v>19</v>
      </c>
      <c r="J4" t="s">
        <v>26</v>
      </c>
      <c r="K4" t="s">
        <v>18</v>
      </c>
      <c r="L4" t="s">
        <v>21</v>
      </c>
    </row>
    <row r="5" spans="2:12" x14ac:dyDescent="0.3">
      <c r="B5" s="2">
        <v>4</v>
      </c>
      <c r="C5" s="3">
        <v>860</v>
      </c>
      <c r="E5" s="2" t="s">
        <v>2</v>
      </c>
      <c r="F5" s="3">
        <v>3800</v>
      </c>
      <c r="H5" s="2" t="s">
        <v>13</v>
      </c>
      <c r="I5" s="3"/>
      <c r="J5" s="3">
        <v>860</v>
      </c>
      <c r="K5" s="3"/>
      <c r="L5" s="3">
        <v>860</v>
      </c>
    </row>
    <row r="6" spans="2:12" x14ac:dyDescent="0.3">
      <c r="B6" s="2">
        <v>5</v>
      </c>
      <c r="C6" s="3">
        <v>850</v>
      </c>
      <c r="E6" s="2" t="s">
        <v>4</v>
      </c>
      <c r="F6" s="3">
        <v>3750</v>
      </c>
      <c r="H6" s="2" t="s">
        <v>9</v>
      </c>
      <c r="I6" s="3">
        <v>3100</v>
      </c>
      <c r="J6" s="3"/>
      <c r="K6" s="3"/>
      <c r="L6" s="3">
        <v>3100</v>
      </c>
    </row>
    <row r="7" spans="2:12" x14ac:dyDescent="0.3">
      <c r="B7" s="2">
        <v>3</v>
      </c>
      <c r="C7" s="3">
        <v>270</v>
      </c>
      <c r="E7" s="2" t="s">
        <v>21</v>
      </c>
      <c r="F7" s="3">
        <v>23800</v>
      </c>
      <c r="H7" s="2" t="s">
        <v>8</v>
      </c>
      <c r="I7" s="3"/>
      <c r="J7" s="3"/>
      <c r="K7" s="3">
        <v>240</v>
      </c>
      <c r="L7" s="3">
        <v>240</v>
      </c>
    </row>
    <row r="8" spans="2:12" x14ac:dyDescent="0.3">
      <c r="B8" s="2">
        <v>2</v>
      </c>
      <c r="C8" s="3">
        <v>240</v>
      </c>
      <c r="H8" s="2" t="s">
        <v>10</v>
      </c>
      <c r="I8" s="3"/>
      <c r="J8" s="3"/>
      <c r="K8" s="3">
        <v>470</v>
      </c>
      <c r="L8" s="3">
        <v>470</v>
      </c>
    </row>
    <row r="9" spans="2:12" x14ac:dyDescent="0.3">
      <c r="B9" s="2" t="s">
        <v>21</v>
      </c>
      <c r="C9" s="3">
        <v>5790</v>
      </c>
      <c r="H9" s="2" t="s">
        <v>11</v>
      </c>
      <c r="I9" s="3"/>
      <c r="J9" s="3"/>
      <c r="K9" s="3">
        <v>270</v>
      </c>
      <c r="L9" s="3">
        <v>270</v>
      </c>
    </row>
    <row r="10" spans="2:12" ht="34.200000000000003" customHeight="1" x14ac:dyDescent="0.3">
      <c r="E10" s="9" t="s">
        <v>31</v>
      </c>
      <c r="H10" s="2" t="s">
        <v>12</v>
      </c>
      <c r="I10" s="3"/>
      <c r="J10" s="3">
        <v>850</v>
      </c>
      <c r="K10" s="3"/>
      <c r="L10" s="3">
        <v>850</v>
      </c>
    </row>
    <row r="11" spans="2:12" x14ac:dyDescent="0.3">
      <c r="E11">
        <f>SUM(L5:L10)</f>
        <v>5790</v>
      </c>
      <c r="F11">
        <f>COUNTA(raw_customer_revenue!B:B)</f>
        <v>7</v>
      </c>
      <c r="H11" s="2" t="s">
        <v>21</v>
      </c>
      <c r="I11" s="3">
        <v>3100</v>
      </c>
      <c r="J11" s="3">
        <v>1710</v>
      </c>
      <c r="K11" s="3">
        <v>980</v>
      </c>
      <c r="L11" s="3">
        <v>5790</v>
      </c>
    </row>
  </sheetData>
  <mergeCells count="3">
    <mergeCell ref="E1:F2"/>
    <mergeCell ref="B1:C2"/>
    <mergeCell ref="H1:L2"/>
  </mergeCell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raw_city_revenue</vt:lpstr>
      <vt:lpstr>raw_customer_revenue</vt:lpstr>
      <vt:lpstr>raw_inactive_customers</vt:lpstr>
      <vt:lpstr>raw_customer_segment</vt:lpstr>
      <vt:lpstr>raw_monthly_reveue</vt:lpstr>
      <vt:lpstr>pivot_analysis</vt:lpstr>
      <vt:lpstr>raw_city_revenue!city_revenue</vt:lpstr>
      <vt:lpstr>raw_city_revenue!city_revenue_1</vt:lpstr>
      <vt:lpstr>raw_customer_revenue!customers_revenue</vt:lpstr>
      <vt:lpstr>raw_monthly_reveue!monthly_revenue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2025-12-29T09:41:55Z</dcterms:created>
  <dcterms:modified xsi:type="dcterms:W3CDTF">2026-01-21T10:48:31Z</dcterms:modified>
</cp:coreProperties>
</file>